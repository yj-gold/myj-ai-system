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  <sheet name="Profit &amp; Los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<sst xmlns="http://schemas.openxmlformats.org/spreadsheetml/2006/main" count="52" uniqueCount="47">
  <si>
    <t xml:space="preserve">MYJ CURRENCY TRADING S.C.Sp.</t>
  </si>
  <si>
    <t xml:space="preserve">Balance Sheet (consolidated, EUR) - as of December 31 - Cash basis</t>
  </si>
  <si>
    <t xml:space="preserve">Translated at year-end rates (Rates sheet)</t>
  </si>
  <si>
    <t xml:space="preserve">2021 (EUR)</t>
  </si>
  <si>
    <t xml:space="preserve">2022 (EUR)</t>
  </si>
  <si>
    <t xml:space="preserve">2023 (EUR)</t>
  </si>
  <si>
    <t xml:space="preserve">2024 (EUR)</t>
  </si>
  <si>
    <t xml:space="preserve">2025 (EUR)</t>
  </si>
  <si>
    <t xml:space="preserve">ASSETS</t>
  </si>
  <si>
    <t xml:space="preserve">  Cash at bank</t>
  </si>
  <si>
    <t xml:space="preserve">  Investment - IG Markets / IG Europe</t>
  </si>
  <si>
    <t xml:space="preserve">  Investment - United Trust Solutions</t>
  </si>
  <si>
    <t xml:space="preserve">  Investment - Veloce Consulting</t>
  </si>
  <si>
    <t xml:space="preserve">  Investment - Soho Capital Management</t>
  </si>
  <si>
    <t xml:space="preserve">  Loans receivable</t>
  </si>
  <si>
    <t xml:space="preserve">  Fixed assets - property &amp; equipment</t>
  </si>
  <si>
    <t xml:space="preserve">TOTAL ASSETS</t>
  </si>
  <si>
    <t xml:space="preserve">LIABILITIES</t>
  </si>
  <si>
    <t xml:space="preserve">Accounts payable</t>
  </si>
  <si>
    <t xml:space="preserve">Loans payable</t>
  </si>
  <si>
    <t xml:space="preserve">TOTAL LIABILITIES</t>
  </si>
  <si>
    <t xml:space="preserve">EQUITY</t>
  </si>
  <si>
    <t xml:space="preserve">Investor A - capital account (masked)</t>
  </si>
  <si>
    <t xml:space="preserve">Investor B - capital account (masked)</t>
  </si>
  <si>
    <t xml:space="preserve">  Related party - Yanick Jetha current account</t>
  </si>
  <si>
    <t xml:space="preserve">Retained earnings</t>
  </si>
  <si>
    <t xml:space="preserve">TOTAL EQUITY</t>
  </si>
  <si>
    <t xml:space="preserve">TOTAL LIABILITIES &amp; EQUITY</t>
  </si>
  <si>
    <t xml:space="preserve">Check</t>
  </si>
  <si>
    <t xml:space="preserve">Profit &amp; Loss (consolidated, EUR) - years ended December 31 - Cash basis</t>
  </si>
  <si>
    <t xml:space="preserve">INCOME</t>
  </si>
  <si>
    <t xml:space="preserve">  Interest income</t>
  </si>
  <si>
    <t xml:space="preserve">  Other income</t>
  </si>
  <si>
    <t xml:space="preserve">Total income</t>
  </si>
  <si>
    <t xml:space="preserve">EXPENSES</t>
  </si>
  <si>
    <t xml:space="preserve">  Trading result</t>
  </si>
  <si>
    <t xml:space="preserve">  Bank &amp; brokerage fees</t>
  </si>
  <si>
    <t xml:space="preserve">  Professional fees</t>
  </si>
  <si>
    <t xml:space="preserve">  Introducer commissions</t>
  </si>
  <si>
    <t xml:space="preserve">  Office &amp; administrative expenses</t>
  </si>
  <si>
    <t xml:space="preserve">  Salaries &amp; wages</t>
  </si>
  <si>
    <t xml:space="preserve">  Interest expense</t>
  </si>
  <si>
    <t xml:space="preserve">  Coupons &amp; distributions to investors</t>
  </si>
  <si>
    <t xml:space="preserve">  Market data &amp; subscriptions</t>
  </si>
  <si>
    <t xml:space="preserve">  Other operating expenses</t>
  </si>
  <si>
    <t xml:space="preserve">Total expenses</t>
  </si>
  <si>
    <t xml:space="preserve">NET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</si>
</sst>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_(* #,##0.00_);_(* \(#,##0.00\);_(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4.25" hidden="false" customHeight="false" outlineLevel="0" collapsed="false">
      <c r="A5" s="5" t="s">
        <v>8</v>
      </c>
    </row>
    <row r="6" customFormat="false" ht="14.25" hidden="false" customHeight="false" outlineLevel="0" collapsed="false">
      <c r="A6" s="6" t="s">
        <v>9</v>
      </c>
      <c r="B6" s="7" t="n">
        <v>261589</v>
      </c>
      <c r="C6" s="7" t="n">
        <v>300683</v>
      </c>
      <c r="D6" s="7" t="n">
        <v>274252</v>
      </c>
      <c r="E6" s="7" t="n">
        <v>603213</v>
      </c>
      <c r="F6" s="7" t="n">
        <v>273746</v>
      </c>
    </row>
    <row r="7" customFormat="false" ht="14.25" hidden="false" customHeight="false" outlineLevel="0" collapsed="false">
      <c r="A7" s="6" t="s">
        <v>10</v>
      </c>
      <c r="B7" s="7" t="n">
        <v>1503943</v>
      </c>
      <c r="C7" s="7" t="n">
        <v>1814392</v>
      </c>
      <c r="D7" s="7" t="n">
        <v>4394055</v>
      </c>
      <c r="E7" s="7" t="n">
        <v>5950333</v>
      </c>
      <c r="F7" s="7" t="n">
        <v>6792980</v>
      </c>
    </row>
    <row r="8" customFormat="false" ht="14.25" hidden="false" customHeight="false" outlineLevel="0" collapsed="false">
      <c r="A8" s="6" t="s">
        <v>11</v>
      </c>
      <c r="B8" s="7" t="n">
        <v>2612188</v>
      </c>
      <c r="C8" s="7" t="n">
        <v>2617108</v>
      </c>
      <c r="D8" s="7" t="n">
        <v>2614174</v>
      </c>
      <c r="E8" s="7" t="n">
        <v>2441361</v>
      </c>
      <c r="F8" s="7" t="n">
        <v>3039485</v>
      </c>
    </row>
    <row r="9" customFormat="false" ht="14.25" hidden="false" customHeight="false" outlineLevel="0" collapsed="false">
      <c r="A9" s="6" t="s">
        <v>12</v>
      </c>
      <c r="B9" s="7" t="n">
        <v>598862</v>
      </c>
      <c r="C9" s="7" t="n">
        <v>385354</v>
      </c>
      <c r="D9" s="7" t="n">
        <v>854120</v>
      </c>
      <c r="E9" s="7" t="n">
        <v>419673</v>
      </c>
      <c r="F9" s="7" t="n">
        <v>737324</v>
      </c>
    </row>
    <row r="10" customFormat="false" ht="14.25" hidden="false" customHeight="false" outlineLevel="0" collapsed="false">
      <c r="A10" s="6" t="s">
        <v>13</v>
      </c>
      <c r="B10" s="7" t="n">
        <v>247444</v>
      </c>
      <c r="C10" s="7" t="n">
        <v>247444</v>
      </c>
      <c r="D10" s="7" t="n">
        <v>247444</v>
      </c>
      <c r="E10" s="7" t="n">
        <v>247444</v>
      </c>
      <c r="F10" s="7" t="n">
        <v>247444</v>
      </c>
    </row>
    <row r="11" customFormat="false" ht="14.25" hidden="false" customHeight="false" outlineLevel="0" collapsed="false">
      <c r="A11" s="6" t="s">
        <v>14</v>
      </c>
      <c r="B11" s="7" t="n">
        <v>302744</v>
      </c>
      <c r="C11" s="7" t="n">
        <v>319214</v>
      </c>
      <c r="D11" s="7" t="n">
        <v>309392</v>
      </c>
      <c r="E11" s="7" t="n">
        <v>326749</v>
      </c>
      <c r="F11" s="7" t="n">
        <v>296458</v>
      </c>
    </row>
    <row r="12" customFormat="false" ht="14.25" hidden="false" customHeight="false" outlineLevel="0" collapsed="false">
      <c r="A12" s="6" t="s">
        <v>15</v>
      </c>
      <c r="B12" s="7" t="n">
        <v>17658</v>
      </c>
      <c r="C12" s="7" t="n">
        <v>18751</v>
      </c>
      <c r="D12" s="7" t="n">
        <v>18099</v>
      </c>
      <c r="E12" s="7" t="n">
        <v>19251</v>
      </c>
      <c r="F12" s="7" t="n">
        <v>17241</v>
      </c>
    </row>
    <row r="13" customFormat="false" ht="14.25" hidden="false" customHeight="false" outlineLevel="0" collapsed="false">
      <c r="A13" s="2" t="s">
        <v>16</v>
      </c>
      <c r="B13" s="8" t="n">
        <f aca="false">SUM(B6:B12)</f>
        <v>5544428</v>
      </c>
      <c r="C13" s="8" t="n">
        <f aca="false">SUM(C6:C12)</f>
        <v>5702946</v>
      </c>
      <c r="D13" s="8" t="n">
        <f aca="false">SUM(D6:D12)</f>
        <v>8711536</v>
      </c>
      <c r="E13" s="8" t="n">
        <f aca="false">SUM(E6:E12)</f>
        <v>10008024</v>
      </c>
      <c r="F13" s="8" t="n">
        <f aca="false">SUM(F6:F12)</f>
        <v>11404678</v>
      </c>
    </row>
    <row r="15" customFormat="false" ht="14.25" hidden="false" customHeight="false" outlineLevel="0" collapsed="false">
      <c r="A15" s="5" t="s">
        <v>17</v>
      </c>
    </row>
    <row r="16" customFormat="false" ht="14.25" hidden="false" customHeight="false" outlineLevel="0" collapsed="false">
      <c r="A16" s="6" t="s">
        <v>18</v>
      </c>
      <c r="B16" s="7" t="n">
        <v>25000</v>
      </c>
      <c r="C16" s="7" t="n">
        <v>12500</v>
      </c>
      <c r="D16" s="7" t="n">
        <v>36500</v>
      </c>
      <c r="E16" s="7" t="n">
        <v>23000</v>
      </c>
      <c r="F16" s="7" t="n">
        <v>45000</v>
      </c>
    </row>
    <row r="17" customFormat="false" ht="14.25" hidden="false" customHeight="false" outlineLevel="0" collapsed="false">
      <c r="A17" s="6" t="s">
        <v>19</v>
      </c>
      <c r="B17" s="7" t="n">
        <v>1250000</v>
      </c>
      <c r="C17" s="7" t="n">
        <v>1250000</v>
      </c>
      <c r="D17" s="7" t="n">
        <v>2250000</v>
      </c>
      <c r="E17" s="7" t="n">
        <v>750000</v>
      </c>
      <c r="F17" s="7" t="n">
        <v>120000</v>
      </c>
    </row>
    <row r="18" customFormat="false" ht="14.25" hidden="false" customHeight="false" outlineLevel="0" collapsed="false">
      <c r="A18" s="2" t="s">
        <v>20</v>
      </c>
      <c r="B18" s="8" t="n">
        <f aca="false">SUM(B16:B17)</f>
        <v>1275000</v>
      </c>
      <c r="C18" s="8" t="n">
        <f aca="false">SUM(C16:C17)</f>
        <v>1262500</v>
      </c>
      <c r="D18" s="8" t="n">
        <f aca="false">SUM(D16:D17)</f>
        <v>2286500</v>
      </c>
      <c r="E18" s="8" t="n">
        <f aca="false">SUM(E16:E17)</f>
        <v>773000</v>
      </c>
      <c r="F18" s="8" t="n">
        <f aca="false">SUM(F16:F17)</f>
        <v>165000</v>
      </c>
    </row>
    <row r="20" customFormat="false" ht="14.25" hidden="false" customHeight="false" outlineLevel="0" collapsed="false">
      <c r="A20" s="5" t="s">
        <v>21</v>
      </c>
      <c r="D20" s="9"/>
      <c r="E20" s="9"/>
      <c r="F20" s="9"/>
    </row>
    <row r="21" customFormat="false" ht="14.25" hidden="false" customHeight="false" outlineLevel="0" collapsed="false">
      <c r="A21" s="6" t="s">
        <v>22</v>
      </c>
      <c r="B21" s="7" t="n">
        <v>1750000</v>
      </c>
      <c r="C21" s="7" t="n">
        <f aca="false">B21</f>
        <v>1750000</v>
      </c>
      <c r="D21" s="7" t="n">
        <v>2250000</v>
      </c>
      <c r="E21" s="7" t="n">
        <v>3750450</v>
      </c>
      <c r="F21" s="7" t="n">
        <v>4525025</v>
      </c>
    </row>
    <row r="22" customFormat="false" ht="14.25" hidden="false" customHeight="false" outlineLevel="0" collapsed="false">
      <c r="A22" s="6" t="s">
        <v>23</v>
      </c>
      <c r="B22" s="7" t="n">
        <v>2500000</v>
      </c>
      <c r="C22" s="7" t="n">
        <v>2750000</v>
      </c>
      <c r="D22" s="7" t="n">
        <v>4500000</v>
      </c>
      <c r="E22" s="7" t="n">
        <v>5725000</v>
      </c>
      <c r="F22" s="7" t="n">
        <v>7250000</v>
      </c>
    </row>
    <row r="23" customFormat="false" ht="14.25" hidden="false" customHeight="false" outlineLevel="0" collapsed="false">
      <c r="A23" s="6" t="s">
        <v>24</v>
      </c>
      <c r="B23" s="7" t="n">
        <v>179279</v>
      </c>
      <c r="C23" s="7" t="n">
        <v>192366</v>
      </c>
      <c r="D23" s="7" t="n">
        <v>184916</v>
      </c>
      <c r="E23" s="7" t="n">
        <v>195677</v>
      </c>
      <c r="F23" s="7" t="n">
        <v>175896</v>
      </c>
    </row>
    <row r="24" customFormat="false" ht="14.25" hidden="false" customHeight="false" outlineLevel="0" collapsed="false">
      <c r="A24" s="6" t="s">
        <v>25</v>
      </c>
      <c r="B24" s="7" t="n">
        <v>-159851</v>
      </c>
      <c r="C24" s="7" t="n">
        <f aca="false">B24-'Profit &amp; Loss'!B23</f>
        <v>-251920</v>
      </c>
      <c r="D24" s="7" t="n">
        <f aca="false">C24-'Profit &amp; Loss'!C23</f>
        <v>-509880</v>
      </c>
      <c r="E24" s="7" t="n">
        <f aca="false">D24-'Profit &amp; Loss'!D23</f>
        <v>-436103</v>
      </c>
      <c r="F24" s="7" t="n">
        <f aca="false">E24-'Profit &amp; Loss'!E23</f>
        <v>-711243</v>
      </c>
    </row>
    <row r="25" customFormat="false" ht="14.25" hidden="false" customHeight="false" outlineLevel="0" collapsed="false">
      <c r="A25" s="2" t="s">
        <v>26</v>
      </c>
      <c r="B25" s="8" t="n">
        <f aca="false">SUM(B20:B24)</f>
        <v>4269428</v>
      </c>
      <c r="C25" s="8" t="n">
        <f aca="false">SUM(C20:C24)</f>
        <v>4440446</v>
      </c>
      <c r="D25" s="8" t="n">
        <f aca="false">SUM(D20:D24)</f>
        <v>6425036</v>
      </c>
      <c r="E25" s="8" t="n">
        <f aca="false">SUM(E20:E24)</f>
        <v>9235024</v>
      </c>
      <c r="F25" s="8" t="n">
        <f aca="false">SUM(F20:F24)</f>
        <v>11239678</v>
      </c>
    </row>
    <row r="26" customFormat="false" ht="14.25" hidden="false" customHeight="false" outlineLevel="0" collapsed="false">
      <c r="A26" s="2" t="s">
        <v>27</v>
      </c>
      <c r="B26" s="10" t="n">
        <f aca="false">B18+B25</f>
        <v>5544428</v>
      </c>
      <c r="C26" s="10" t="n">
        <f aca="false">C18+C25</f>
        <v>5702946</v>
      </c>
      <c r="D26" s="10" t="n">
        <f aca="false">D18+D25</f>
        <v>8711536</v>
      </c>
      <c r="E26" s="10" t="n">
        <f aca="false">E18+E25</f>
        <v>10008024</v>
      </c>
      <c r="F26" s="10" t="n">
        <f aca="false">F18+F25</f>
        <v>11404678</v>
      </c>
    </row>
    <row r="27" customFormat="false" ht="14.25" hidden="false" customHeight="false" outlineLevel="0" collapsed="false">
      <c r="A27" s="0" t="s">
        <v>28</v>
      </c>
      <c r="B27" s="9" t="n">
        <f aca="false">B13-B18-B25</f>
        <v>0</v>
      </c>
      <c r="C27" s="9" t="n">
        <f aca="false">C13-C18-C25</f>
        <v>0</v>
      </c>
      <c r="D27" s="9" t="n">
        <f aca="false">D13-D18-D25</f>
        <v>0</v>
      </c>
      <c r="E27" s="9" t="n">
        <f aca="false">E13-E18-E25</f>
        <v>0</v>
      </c>
      <c r="F27" s="9" t="n">
        <f aca="false">F13-F18-F25</f>
        <v>0</v>
      </c>
    </row>
    <row r="28" customFormat="false" ht="14.25" hidden="false" customHeight="false" outlineLevel="0" collapsed="false">
      <c r="C28" s="11"/>
      <c r="D28" s="11"/>
      <c r="E28" s="11"/>
      <c r="F2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5"/>
  </cols>
  <sheetData>
    <row r="1" customFormat="false" ht="1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29</v>
      </c>
    </row>
    <row r="4" customFormat="false" ht="14.25" hidden="false" customHeight="false" outlineLevel="0" collapsed="false">
      <c r="B4" s="4" t="s">
        <v>4</v>
      </c>
      <c r="C4" s="4" t="s">
        <v>5</v>
      </c>
      <c r="D4" s="4" t="s">
        <v>6</v>
      </c>
      <c r="E4" s="4" t="s">
        <v>7</v>
      </c>
    </row>
    <row r="5" customFormat="false" ht="14.25" hidden="false" customHeight="false" outlineLevel="0" collapsed="false">
      <c r="A5" s="5" t="s">
        <v>30</v>
      </c>
    </row>
    <row r="6" customFormat="false" ht="14.25" hidden="false" customHeight="false" outlineLevel="0" collapsed="false">
      <c r="A6" s="6" t="s">
        <v>31</v>
      </c>
      <c r="B6" s="7" t="n">
        <v>656784</v>
      </c>
      <c r="C6" s="7" t="n">
        <v>1332784</v>
      </c>
      <c r="D6" s="7" t="n">
        <v>647589</v>
      </c>
      <c r="E6" s="7" t="n">
        <v>1548930</v>
      </c>
    </row>
    <row r="7" customFormat="false" ht="14.25" hidden="false" customHeight="false" outlineLevel="0" collapsed="false">
      <c r="A7" s="6" t="s">
        <v>32</v>
      </c>
      <c r="B7" s="7" t="n">
        <v>19384</v>
      </c>
      <c r="C7" s="7" t="n">
        <v>38590</v>
      </c>
      <c r="D7" s="7" t="n">
        <v>25873</v>
      </c>
      <c r="E7" s="7" t="n">
        <v>38495</v>
      </c>
    </row>
    <row r="8" customFormat="false" ht="14.25" hidden="false" customHeight="false" outlineLevel="0" collapsed="false">
      <c r="A8" s="2" t="s">
        <v>33</v>
      </c>
      <c r="B8" s="8" t="n">
        <f aca="false">SUM(B6:B7)</f>
        <v>676168</v>
      </c>
      <c r="C8" s="8" t="n">
        <f aca="false">SUM(C6:C7)</f>
        <v>1371374</v>
      </c>
      <c r="D8" s="8" t="n">
        <f aca="false">SUM(D6:D7)</f>
        <v>673462</v>
      </c>
      <c r="E8" s="8" t="n">
        <f aca="false">SUM(E6:E7)</f>
        <v>1587425</v>
      </c>
    </row>
    <row r="10" customFormat="false" ht="14.25" hidden="false" customHeight="false" outlineLevel="0" collapsed="false">
      <c r="A10" s="5" t="s">
        <v>34</v>
      </c>
    </row>
    <row r="11" customFormat="false" ht="14.25" hidden="false" customHeight="false" outlineLevel="0" collapsed="false">
      <c r="A11" s="6" t="s">
        <v>35</v>
      </c>
      <c r="B11" s="7"/>
      <c r="C11" s="7"/>
      <c r="D11" s="7"/>
      <c r="E11" s="7"/>
    </row>
    <row r="12" customFormat="false" ht="14.25" hidden="false" customHeight="false" outlineLevel="0" collapsed="false">
      <c r="A12" s="6" t="s">
        <v>36</v>
      </c>
      <c r="B12" s="7" t="n">
        <v>6245</v>
      </c>
      <c r="C12" s="7" t="n">
        <v>9482</v>
      </c>
      <c r="D12" s="7" t="n">
        <v>11459</v>
      </c>
      <c r="E12" s="7" t="n">
        <v>14950</v>
      </c>
    </row>
    <row r="13" customFormat="false" ht="14.25" hidden="false" customHeight="false" outlineLevel="0" collapsed="false">
      <c r="A13" s="6" t="s">
        <v>37</v>
      </c>
      <c r="B13" s="7" t="n">
        <v>36000</v>
      </c>
      <c r="C13" s="7" t="n">
        <v>45000</v>
      </c>
      <c r="D13" s="7" t="n">
        <v>54000</v>
      </c>
      <c r="E13" s="7" t="n">
        <v>63000</v>
      </c>
    </row>
    <row r="14" customFormat="false" ht="14.25" hidden="false" customHeight="false" outlineLevel="0" collapsed="false">
      <c r="A14" s="6" t="s">
        <v>38</v>
      </c>
      <c r="B14" s="7" t="n">
        <v>34023</v>
      </c>
      <c r="C14" s="7" t="n">
        <v>49580</v>
      </c>
      <c r="D14" s="7" t="n">
        <v>53495</v>
      </c>
      <c r="E14" s="7" t="n">
        <v>63849</v>
      </c>
    </row>
    <row r="15" customFormat="false" ht="14.25" hidden="false" customHeight="false" outlineLevel="0" collapsed="false">
      <c r="A15" s="6" t="s">
        <v>39</v>
      </c>
      <c r="B15" s="7" t="n">
        <v>23651</v>
      </c>
      <c r="C15" s="7" t="n">
        <v>37485</v>
      </c>
      <c r="D15" s="7" t="n">
        <v>39485</v>
      </c>
      <c r="E15" s="7" t="n">
        <v>43849</v>
      </c>
    </row>
    <row r="16" customFormat="false" ht="14.25" hidden="false" customHeight="false" outlineLevel="0" collapsed="false">
      <c r="A16" s="6" t="s">
        <v>40</v>
      </c>
      <c r="B16" s="7" t="n">
        <v>65000</v>
      </c>
      <c r="C16" s="7" t="n">
        <v>93000</v>
      </c>
      <c r="D16" s="7" t="n">
        <v>78000</v>
      </c>
      <c r="E16" s="7" t="n">
        <v>103000</v>
      </c>
    </row>
    <row r="17" customFormat="false" ht="14.25" hidden="false" customHeight="false" outlineLevel="0" collapsed="false">
      <c r="A17" s="6" t="s">
        <v>41</v>
      </c>
      <c r="B17" s="7" t="n">
        <v>28325</v>
      </c>
      <c r="C17" s="7" t="n">
        <v>43049</v>
      </c>
      <c r="D17" s="7" t="n">
        <v>52038</v>
      </c>
      <c r="E17" s="7" t="n">
        <v>64738</v>
      </c>
    </row>
    <row r="18" customFormat="false" ht="14.25" hidden="false" customHeight="false" outlineLevel="0" collapsed="false">
      <c r="A18" s="6" t="s">
        <v>42</v>
      </c>
      <c r="B18" s="7" t="n">
        <v>303810</v>
      </c>
      <c r="C18" s="7" t="n">
        <v>758463</v>
      </c>
      <c r="D18" s="7" t="n">
        <v>384954</v>
      </c>
      <c r="E18" s="7" t="n">
        <v>894030</v>
      </c>
    </row>
    <row r="19" customFormat="false" ht="14.25" hidden="false" customHeight="false" outlineLevel="0" collapsed="false">
      <c r="A19" s="6" t="s">
        <v>43</v>
      </c>
      <c r="B19" s="7" t="n">
        <v>64000</v>
      </c>
      <c r="C19" s="7" t="n">
        <v>39870</v>
      </c>
      <c r="D19" s="7" t="n">
        <v>45069</v>
      </c>
      <c r="E19" s="7" t="n">
        <v>27384</v>
      </c>
    </row>
    <row r="20" customFormat="false" ht="14.25" hidden="false" customHeight="false" outlineLevel="0" collapsed="false">
      <c r="A20" s="6" t="s">
        <v>44</v>
      </c>
      <c r="B20" s="7" t="n">
        <v>23045</v>
      </c>
      <c r="C20" s="7" t="n">
        <v>37485</v>
      </c>
      <c r="D20" s="7" t="n">
        <v>28739</v>
      </c>
      <c r="E20" s="7" t="n">
        <v>37485</v>
      </c>
    </row>
    <row r="21" customFormat="false" ht="14.25" hidden="false" customHeight="false" outlineLevel="0" collapsed="false">
      <c r="A21" s="2" t="s">
        <v>45</v>
      </c>
      <c r="B21" s="8" t="n">
        <f aca="false">SUM(B11:B20)</f>
        <v>584099</v>
      </c>
      <c r="C21" s="8" t="n">
        <f aca="false">SUM(C11:C20)</f>
        <v>1113414</v>
      </c>
      <c r="D21" s="8" t="n">
        <f aca="false">SUM(D11:D20)</f>
        <v>747239</v>
      </c>
      <c r="E21" s="8" t="n">
        <f aca="false">SUM(E11:E20)</f>
        <v>1312285</v>
      </c>
    </row>
    <row r="23" customFormat="false" ht="14.25" hidden="false" customHeight="false" outlineLevel="0" collapsed="false">
      <c r="A23" s="2" t="s">
        <v>46</v>
      </c>
      <c r="B23" s="8" t="n">
        <f aca="false">B8-B21</f>
        <v>92069</v>
      </c>
      <c r="C23" s="8" t="n">
        <f aca="false">C8-C21</f>
        <v>257960</v>
      </c>
      <c r="D23" s="8" t="n">
        <f aca="false">D8-D21</f>
        <v>-73777</v>
      </c>
      <c r="E23" s="8" t="n">
        <f aca="false">E8-E21</f>
        <v>275140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2026-08-11T18:34:08Z</dcterms:created>
  <dc:creator>openpyxl</dc:creator>
  <dc:description/>
  <dc:language>en-US</dc:language>
  <cp:lastModifiedBy>Ryan Yates</cp:lastModifiedBy>
  <dcterms:modified xsi:type="dcterms:W3CDTF">2026-08-12T13:03:00Z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